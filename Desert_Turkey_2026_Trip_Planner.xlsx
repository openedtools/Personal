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Campers" sheetId="2" state="visible" r:id="rId2"/>
    <sheet name="Timeline" sheetId="3" state="visible" r:id="rId3"/>
    <sheet name="Reservations" sheetId="4" state="visible" r:id="rId4"/>
    <sheet name="Site Assignments" sheetId="5" state="visible" r:id="rId5"/>
    <sheet name="Itinerary" sheetId="6" state="visible" r:id="rId6"/>
    <sheet name="Potluck" sheetId="7" state="visible" r:id="rId7"/>
    <sheet name="T-Shirts" sheetId="8" state="visible" r:id="rId8"/>
    <sheet name="Gear" sheetId="9" state="visible" r:id="rId9"/>
    <sheet name="Trails" sheetId="10" state="visible" r:id="rId10"/>
    <sheet name="Links &amp; Inf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d m/d"/>
    <numFmt numFmtId="166" formatCode="ddd&#10;m/d"/>
  </numFmts>
  <fonts count="14">
    <font>
      <name val="Calibri"/>
      <family val="2"/>
      <color theme="1"/>
      <sz val="11"/>
      <scheme val="minor"/>
    </font>
    <font>
      <name val="Calibri"/>
      <b val="1"/>
      <color rgb="FF2A1A08"/>
      <sz val="28"/>
    </font>
    <font>
      <name val="Calibri"/>
      <i val="1"/>
      <color rgb="FF7A6040"/>
      <sz val="12"/>
    </font>
    <font>
      <name val="Calibri"/>
      <i val="1"/>
      <color rgb="FF7A6040"/>
      <sz val="10"/>
    </font>
    <font>
      <name val="Calibri"/>
      <b val="1"/>
      <color rgb="FFC4622D"/>
      <sz val="20"/>
    </font>
    <font>
      <name val="Calibri"/>
      <b val="1"/>
      <color rgb="FFC4622D"/>
      <sz val="18"/>
    </font>
    <font>
      <name val="Calibri"/>
      <b val="1"/>
      <color rgb="FF2A1A08"/>
      <sz val="14"/>
    </font>
    <font>
      <b val="1"/>
      <color rgb="FFC4622D"/>
    </font>
    <font>
      <color rgb="FF2A1A08"/>
    </font>
    <font>
      <name val="Calibri"/>
      <b val="1"/>
      <color rgb="FFFFFFFF"/>
      <sz val="11"/>
    </font>
    <font>
      <b val="1"/>
      <color rgb="FF2A1A08"/>
    </font>
    <font>
      <i val="1"/>
      <color rgb="FF7A6040"/>
      <sz val="10"/>
    </font>
    <font>
      <color rgb="FFC4622D"/>
      <u val="single"/>
    </font>
    <font>
      <color rgb="FF7A6040"/>
    </font>
  </fonts>
  <fills count="4">
    <fill>
      <patternFill/>
    </fill>
    <fill>
      <patternFill patternType="gray125"/>
    </fill>
    <fill>
      <patternFill patternType="solid">
        <fgColor rgb="FFF5EED8"/>
      </patternFill>
    </fill>
    <fill>
      <patternFill patternType="solid">
        <fgColor rgb="FFC4622D"/>
      </patternFill>
    </fill>
  </fills>
  <borders count="2">
    <border>
      <left/>
      <right/>
      <top/>
      <bottom/>
      <diagonal/>
    </border>
    <border>
      <left style="thin">
        <color rgb="FFC8B888"/>
      </left>
      <right style="thin">
        <color rgb="FFC8B888"/>
      </right>
      <top style="thin">
        <color rgb="FFC8B888"/>
      </top>
      <bottom style="thin">
        <color rgb="FFC8B88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/>
    </xf>
    <xf numFmtId="0" fontId="4" fillId="2" borderId="0" pivotButton="0" quotePrefix="0" xfId="0"/>
    <xf numFmtId="0" fontId="5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left" vertical="center"/>
    </xf>
    <xf numFmtId="0" fontId="7" fillId="2" borderId="0" pivotButton="0" quotePrefix="0" xfId="0"/>
    <xf numFmtId="0" fontId="8" fillId="2" borderId="0" pivotButton="0" quotePrefix="0" xfId="0"/>
    <xf numFmtId="0" fontId="9" fillId="3" borderId="1" applyAlignment="1" pivotButton="0" quotePrefix="0" xfId="0">
      <alignment horizontal="left" vertical="center" wrapText="1"/>
    </xf>
    <xf numFmtId="165" fontId="0" fillId="2" borderId="0" pivotButton="0" quotePrefix="0" xfId="0"/>
    <xf numFmtId="166" fontId="9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10" fillId="2" borderId="0" pivotButton="0" quotePrefix="0" xfId="0"/>
    <xf numFmtId="0" fontId="11" fillId="2" borderId="0" applyAlignment="1" pivotButton="0" quotePrefix="0" xfId="0">
      <alignment wrapText="1"/>
    </xf>
    <xf numFmtId="0" fontId="0" fillId="2" borderId="0" applyAlignment="1" pivotButton="0" quotePrefix="0" xfId="0">
      <alignment vertical="top" wrapText="1"/>
    </xf>
    <xf numFmtId="0" fontId="7" fillId="0" borderId="0" pivotButton="0" quotePrefix="0" xfId="0"/>
    <xf numFmtId="0" fontId="12" fillId="2" borderId="0" pivotButton="0" quotePrefix="0" xfId="0"/>
    <xf numFmtId="0" fontId="13" fillId="2" borderId="0" applyAlignment="1" pivotButton="0" quotePrefix="0" xfId="0">
      <alignment vertical="top" wrapText="1"/>
    </xf>
  </cellXfs>
  <cellStyles count="1">
    <cellStyle name="Normal" xfId="0" builtinId="0" hidden="0"/>
  </cellStyles>
  <dxfs count="25">
    <dxf>
      <fill>
        <patternFill patternType="solid">
          <fgColor rgb="FFFFBC87"/>
        </patternFill>
      </fill>
    </dxf>
    <dxf>
      <fill>
        <patternFill patternType="solid">
          <fgColor rgb="FF87C5FF"/>
        </patternFill>
      </fill>
    </dxf>
    <dxf>
      <fill>
        <patternFill patternType="solid">
          <fgColor rgb="FFC5FF87"/>
        </patternFill>
      </fill>
    </dxf>
    <dxf>
      <fill>
        <patternFill patternType="solid">
          <fgColor rgb="FFFF87E4"/>
        </patternFill>
      </fill>
    </dxf>
    <dxf>
      <fill>
        <patternFill patternType="solid">
          <fgColor rgb="FF87FFFF"/>
        </patternFill>
      </fill>
    </dxf>
    <dxf>
      <fill>
        <patternFill patternType="solid">
          <fgColor rgb="FFFFFA87"/>
        </patternFill>
      </fill>
    </dxf>
    <dxf>
      <fill>
        <patternFill patternType="solid">
          <fgColor rgb="FFE487FF"/>
        </patternFill>
      </fill>
    </dxf>
    <dxf>
      <fill>
        <patternFill patternType="solid">
          <fgColor rgb="FFC4622D"/>
        </patternFill>
      </fill>
    </dxf>
    <dxf>
      <fill>
        <patternFill patternType="solid">
          <fgColor rgb="FF2D6BC4"/>
        </patternFill>
      </fill>
    </dxf>
    <dxf>
      <fill>
        <patternFill patternType="solid">
          <fgColor rgb="FF6BC42D"/>
        </patternFill>
      </fill>
    </dxf>
    <dxf>
      <fill>
        <patternFill patternType="solid">
          <fgColor rgb="FFC42D8A"/>
        </patternFill>
      </fill>
    </dxf>
    <dxf>
      <fill>
        <patternFill patternType="solid">
          <fgColor rgb="FF2DC4B0"/>
        </patternFill>
      </fill>
    </dxf>
    <dxf>
      <fill>
        <patternFill patternType="solid">
          <fgColor rgb="FFC4A02D"/>
        </patternFill>
      </fill>
    </dxf>
    <dxf>
      <fill>
        <patternFill patternType="solid">
          <fgColor rgb="FF8A2DC4"/>
        </patternFill>
      </fill>
    </dxf>
    <dxf>
      <font>
        <i val="1"/>
        <color rgb="FF7A6040"/>
      </font>
      <fill>
        <patternFill patternType="solid">
          <fgColor rgb="FFEDE4CC"/>
        </patternFill>
      </fill>
    </dxf>
    <dxf>
      <fill>
        <patternFill patternType="solid">
          <fgColor rgb="FFFCE8D8"/>
        </patternFill>
      </fill>
    </dxf>
    <dxf>
      <fill>
        <patternFill patternType="solid">
          <fgColor rgb="FFFEF0C8"/>
        </patternFill>
      </fill>
    </dxf>
    <dxf>
      <fill>
        <patternFill patternType="solid">
          <fgColor rgb="FFE8F0D8"/>
        </patternFill>
      </fill>
    </dxf>
    <dxf>
      <fill>
        <patternFill patternType="solid">
          <fgColor rgb="FFF8E0F0"/>
        </patternFill>
      </fill>
    </dxf>
    <dxf>
      <fill>
        <patternFill patternType="solid">
          <fgColor rgb="FFD8ECF8"/>
        </patternFill>
      </fill>
    </dxf>
    <dxf>
      <fill>
        <patternFill patternType="solid">
          <fgColor rgb="FFE8E8F8"/>
        </patternFill>
      </fill>
    </dxf>
    <dxf>
      <fill>
        <patternFill patternType="solid">
          <fgColor rgb="FFE5D8B8"/>
        </patternFill>
      </fill>
    </dxf>
    <dxf>
      <fill>
        <patternFill patternType="solid">
          <fgColor rgb="FFD8F0D0"/>
        </patternFill>
      </fill>
    </dxf>
    <dxf>
      <fill>
        <patternFill patternType="solid">
          <fgColor rgb="FFF8E8B8"/>
        </patternFill>
      </fill>
    </dxf>
    <dxf>
      <fill>
        <patternFill patternType="solid">
          <fgColor rgb="FFF8D8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Campers" displayName="Campers" ref="A1:G21" headerRowCount="1">
  <autoFilter ref="A1:G21"/>
  <tableColumns count="7">
    <tableColumn id="1" name="Name"/>
    <tableColumn id="2" name="Adults"/>
    <tableColumn id="3" name="Kids"/>
    <tableColumn id="4" name="Setup"/>
    <tableColumn id="5" name="Arrival"/>
    <tableColumn id="6" name="Departure"/>
    <tableColumn id="7" name="Note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id="2" name="Reservations" displayName="Reservations" ref="A1:F11" headerRowCount="1">
  <autoFilter ref="A1:F11"/>
  <tableColumns count="6">
    <tableColumn id="1" name="ID"/>
    <tableColumn id="2" name="Holder"/>
    <tableColumn id="3" name="Sites (CSV)"/>
    <tableColumn id="4" name="Arrival"/>
    <tableColumn id="5" name="Departure"/>
    <tableColumn id="6" name="Note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id="3" name="SiteAssignments" displayName="SiteAssignments" ref="A1:C31" headerRowCount="1">
  <autoFilter ref="A1:C31"/>
  <tableColumns count="3">
    <tableColumn id="1" name="Reservation ID"/>
    <tableColumn id="2" name="Site #"/>
    <tableColumn id="3" name="Used By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id="4" name="Itinerary" displayName="Itinerary" ref="A1:D11" headerRowCount="1">
  <autoFilter ref="A1:D11"/>
  <tableColumns count="4">
    <tableColumn id="1" name="Day"/>
    <tableColumn id="2" name="Date"/>
    <tableColumn id="3" name="Title"/>
    <tableColumn id="4" name="Activities (one per line — Alt+Enter)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id="5" name="Potluck" displayName="Potluck" ref="A1:D21" headerRowCount="1">
  <autoFilter ref="A1:D21"/>
  <tableColumns count="4">
    <tableColumn id="1" name="Name"/>
    <tableColumn id="2" name="Bringing"/>
    <tableColumn id="3" name="Category"/>
    <tableColumn id="4" name="Note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id="6" name="TShirts" displayName="TShirts" ref="A1:D21" headerRowCount="1">
  <autoFilter ref="A1:D21"/>
  <tableColumns count="4">
    <tableColumn id="1" name="Name"/>
    <tableColumn id="2" name="Size"/>
    <tableColumn id="3" name="Qty"/>
    <tableColumn id="4" name="Note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id="7" name="Gear" displayName="Gear" ref="A1:B25" headerRowCount="1">
  <autoFilter ref="A1:B25"/>
  <tableColumns count="2">
    <tableColumn id="1" name="Item"/>
    <tableColumn id="2" name="Category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id="8" name="Trails" displayName="Trails" ref="A1:H9" headerRowCount="1">
  <autoFilter ref="A1:H9"/>
  <tableColumns count="8">
    <tableColumn id="1" name="Name"/>
    <tableColumn id="2" name="Difficulty"/>
    <tableColumn id="3" name="Distance"/>
    <tableColumn id="4" name="Time"/>
    <tableColumn id="5" name="Elevation"/>
    <tableColumn id="6" name="Description"/>
    <tableColumn id="7" name="NPS link"/>
    <tableColumn id="8" name="AllTrails link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id="9" name="LinksInfo" displayName="LinksInfo" ref="A1:C17" headerRowCount="1">
  <autoFilter ref="A1:C17"/>
  <tableColumns count="3">
    <tableColumn id="1" name="Topic"/>
    <tableColumn id="2" name="Why you'd open it"/>
    <tableColumn id="3" name="Link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8" customHeight="1">
      <c r="A1" s="1" t="inlineStr">
        <is>
          <t>Desert Turkey 2026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Jumbo Rocks Campground · Joshua Tree NP · Nov 22–28, 2026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Countdown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5">
        <f>MAX(0, DATE(2026,11,22)-TODAY()) &amp; " days to go"</f>
        <v/>
      </c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4" t="inlineStr">
        <is>
          <t>Campers</t>
        </is>
      </c>
      <c r="B7" s="4" t="inlineStr">
        <is>
          <t>People (adults + kids)</t>
        </is>
      </c>
      <c r="C7" s="4" t="inlineStr">
        <is>
          <t>Reservations</t>
        </is>
      </c>
      <c r="D7" s="4" t="inlineStr">
        <is>
          <t>Sites assigned</t>
        </is>
      </c>
      <c r="E7" s="4" t="inlineStr">
        <is>
          <t>Sites open</t>
        </is>
      </c>
      <c r="F7" s="2" t="n"/>
      <c r="G7" s="2" t="n"/>
      <c r="H7" s="2" t="n"/>
    </row>
    <row r="8">
      <c r="A8" s="6">
        <f>COUNTA(Campers[Name])</f>
        <v/>
      </c>
      <c r="B8" s="6">
        <f>SUM(Campers[Adults])+SUM(Campers[Kids])</f>
        <v/>
      </c>
      <c r="C8" s="6">
        <f>COUNTA(Reservations[Holder])</f>
        <v/>
      </c>
      <c r="D8" s="6">
        <f>COUNTIFS(SiteAssignments[Used By], "&lt;&gt;")</f>
        <v/>
      </c>
      <c r="E8" s="6">
        <f>COUNTIFS(SiteAssignments[Used By], "")</f>
        <v/>
      </c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7" t="inlineStr">
        <is>
          <t>Tabs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8" t="inlineStr">
        <is>
          <t>Campers</t>
        </is>
      </c>
      <c r="B12" s="9" t="inlineStr">
        <is>
          <t>Add yourself: name, party size, setup, arrival/departure</t>
        </is>
      </c>
      <c r="C12" s="2" t="n"/>
      <c r="D12" s="2" t="n"/>
      <c r="E12" s="2" t="n"/>
      <c r="F12" s="2" t="n"/>
      <c r="G12" s="2" t="n"/>
      <c r="H12" s="2" t="n"/>
    </row>
    <row r="13">
      <c r="A13" s="8" t="inlineStr">
        <is>
          <t>Timeline</t>
        </is>
      </c>
      <c r="B13" s="9" t="inlineStr">
        <is>
          <t>Gantt view auto-built from Campers</t>
        </is>
      </c>
      <c r="C13" s="2" t="n"/>
      <c r="D13" s="2" t="n"/>
      <c r="E13" s="2" t="n"/>
      <c r="F13" s="2" t="n"/>
      <c r="G13" s="2" t="n"/>
      <c r="H13" s="2" t="n"/>
    </row>
    <row r="14">
      <c r="A14" s="8" t="inlineStr">
        <is>
          <t>Reservations</t>
        </is>
      </c>
      <c r="B14" s="9" t="inlineStr">
        <is>
          <t>Who holds each Recreation.gov booking</t>
        </is>
      </c>
      <c r="C14" s="2" t="n"/>
      <c r="D14" s="2" t="n"/>
      <c r="E14" s="2" t="n"/>
      <c r="F14" s="2" t="n"/>
      <c r="G14" s="2" t="n"/>
      <c r="H14" s="2" t="n"/>
    </row>
    <row r="15">
      <c r="A15" s="8" t="inlineStr">
        <is>
          <t>Site Assignments</t>
        </is>
      </c>
      <c r="B15" s="9" t="inlineStr">
        <is>
          <t>Per-site occupant tracker</t>
        </is>
      </c>
      <c r="C15" s="2" t="n"/>
      <c r="D15" s="2" t="n"/>
      <c r="E15" s="2" t="n"/>
      <c r="F15" s="2" t="n"/>
      <c r="G15" s="2" t="n"/>
      <c r="H15" s="2" t="n"/>
    </row>
    <row r="16">
      <c r="A16" s="8" t="inlineStr">
        <is>
          <t>Itinerary</t>
        </is>
      </c>
      <c r="B16" s="9" t="inlineStr">
        <is>
          <t>Editable trip plan (currently TBD)</t>
        </is>
      </c>
      <c r="C16" s="2" t="n"/>
      <c r="D16" s="2" t="n"/>
      <c r="E16" s="2" t="n"/>
      <c r="F16" s="2" t="n"/>
      <c r="G16" s="2" t="n"/>
      <c r="H16" s="2" t="n"/>
    </row>
    <row r="17">
      <c r="A17" s="8" t="inlineStr">
        <is>
          <t>Potluck</t>
        </is>
      </c>
      <c r="B17" s="9" t="inlineStr">
        <is>
          <t>Sign up for what you're bringing</t>
        </is>
      </c>
      <c r="C17" s="2" t="n"/>
      <c r="D17" s="2" t="n"/>
      <c r="E17" s="2" t="n"/>
      <c r="F17" s="2" t="n"/>
      <c r="G17" s="2" t="n"/>
      <c r="H17" s="2" t="n"/>
    </row>
    <row r="18">
      <c r="A18" s="8" t="inlineStr">
        <is>
          <t>T-Shirts</t>
        </is>
      </c>
      <c r="B18" s="9" t="inlineStr">
        <is>
          <t>Order tally by size</t>
        </is>
      </c>
      <c r="C18" s="2" t="n"/>
      <c r="D18" s="2" t="n"/>
      <c r="E18" s="2" t="n"/>
      <c r="F18" s="2" t="n"/>
      <c r="G18" s="2" t="n"/>
      <c r="H18" s="2" t="n"/>
    </row>
    <row r="19">
      <c r="A19" s="8" t="inlineStr">
        <is>
          <t>Gear</t>
        </is>
      </c>
      <c r="B19" s="9" t="inlineStr">
        <is>
          <t>Suggested packing list</t>
        </is>
      </c>
      <c r="C19" s="2" t="n"/>
      <c r="D19" s="2" t="n"/>
      <c r="E19" s="2" t="n"/>
      <c r="F19" s="2" t="n"/>
      <c r="G19" s="2" t="n"/>
      <c r="H19" s="2" t="n"/>
    </row>
    <row r="20">
      <c r="A20" s="8" t="inlineStr">
        <is>
          <t>Trails</t>
        </is>
      </c>
      <c r="B20" s="9" t="inlineStr">
        <is>
          <t>Nearby hikes with NPS/AllTrails links</t>
        </is>
      </c>
      <c r="C20" s="2" t="n"/>
      <c r="D20" s="2" t="n"/>
      <c r="E20" s="2" t="n"/>
      <c r="F20" s="2" t="n"/>
      <c r="G20" s="2" t="n"/>
      <c r="H20" s="2" t="n"/>
    </row>
    <row r="21">
      <c r="A21" s="8" t="inlineStr">
        <is>
          <t>Links &amp; Info</t>
        </is>
      </c>
      <c r="B21" s="9" t="inlineStr">
        <is>
          <t>Reservation, weather, dark sky, hospital, etc.</t>
        </is>
      </c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8" customWidth="1" min="3" max="3"/>
    <col width="16" customWidth="1" min="4" max="4"/>
    <col width="14" customWidth="1" min="5" max="5"/>
    <col width="14" customWidth="1" min="6" max="6"/>
    <col width="36" customWidth="1" min="7" max="7"/>
  </cols>
  <sheetData>
    <row r="1" ht="24" customHeight="1">
      <c r="A1" s="10" t="inlineStr">
        <is>
          <t>Name</t>
        </is>
      </c>
      <c r="B1" s="10" t="inlineStr">
        <is>
          <t>Adults</t>
        </is>
      </c>
      <c r="C1" s="10" t="inlineStr">
        <is>
          <t>Kids</t>
        </is>
      </c>
      <c r="D1" s="10" t="inlineStr">
        <is>
          <t>Setup</t>
        </is>
      </c>
      <c r="E1" s="10" t="inlineStr">
        <is>
          <t>Arrival</t>
        </is>
      </c>
      <c r="F1" s="10" t="inlineStr">
        <is>
          <t>Departure</t>
        </is>
      </c>
      <c r="G1" s="10" t="inlineStr">
        <is>
          <t>Note</t>
        </is>
      </c>
      <c r="H1" s="2" t="n"/>
    </row>
    <row r="2">
      <c r="A2" s="2" t="inlineStr">
        <is>
          <t>The Best Family</t>
        </is>
      </c>
      <c r="B2" s="2" t="n">
        <v>2</v>
      </c>
      <c r="C2" s="2" t="n">
        <v>1</v>
      </c>
      <c r="D2" s="2" t="inlineStr">
        <is>
          <t>Van</t>
        </is>
      </c>
      <c r="E2" s="11" t="n">
        <v>46350</v>
      </c>
      <c r="F2" s="11" t="n">
        <v>46353</v>
      </c>
      <c r="G2" s="2" t="inlineStr"/>
      <c r="H2" s="2" t="n"/>
    </row>
    <row r="3">
      <c r="A3" s="2" t="n"/>
      <c r="B3" s="2" t="n"/>
      <c r="C3" s="2" t="n"/>
      <c r="D3" s="2" t="n"/>
      <c r="E3" s="11" t="n"/>
      <c r="F3" s="11" t="n"/>
      <c r="G3" s="2" t="n"/>
      <c r="H3" s="2" t="n"/>
    </row>
    <row r="4">
      <c r="A4" s="2" t="n"/>
      <c r="B4" s="2" t="n"/>
      <c r="C4" s="2" t="n"/>
      <c r="D4" s="2" t="n"/>
      <c r="E4" s="11" t="n"/>
      <c r="F4" s="11" t="n"/>
      <c r="G4" s="2" t="n"/>
      <c r="H4" s="2" t="n"/>
    </row>
    <row r="5">
      <c r="A5" s="2" t="n"/>
      <c r="B5" s="2" t="n"/>
      <c r="C5" s="2" t="n"/>
      <c r="D5" s="2" t="n"/>
      <c r="E5" s="11" t="n"/>
      <c r="F5" s="11" t="n"/>
      <c r="G5" s="2" t="n"/>
      <c r="H5" s="2" t="n"/>
    </row>
    <row r="6">
      <c r="A6" s="2" t="n"/>
      <c r="B6" s="2" t="n"/>
      <c r="C6" s="2" t="n"/>
      <c r="D6" s="2" t="n"/>
      <c r="E6" s="11" t="n"/>
      <c r="F6" s="11" t="n"/>
      <c r="G6" s="2" t="n"/>
      <c r="H6" s="2" t="n"/>
    </row>
    <row r="7">
      <c r="A7" s="2" t="n"/>
      <c r="B7" s="2" t="n"/>
      <c r="C7" s="2" t="n"/>
      <c r="D7" s="2" t="n"/>
      <c r="E7" s="11" t="n"/>
      <c r="F7" s="11" t="n"/>
      <c r="G7" s="2" t="n"/>
      <c r="H7" s="2" t="n"/>
    </row>
    <row r="8">
      <c r="A8" s="2" t="n"/>
      <c r="B8" s="2" t="n"/>
      <c r="C8" s="2" t="n"/>
      <c r="D8" s="2" t="n"/>
      <c r="E8" s="11" t="n"/>
      <c r="F8" s="11" t="n"/>
      <c r="G8" s="2" t="n"/>
      <c r="H8" s="2" t="n"/>
    </row>
    <row r="9">
      <c r="A9" s="2" t="n"/>
      <c r="B9" s="2" t="n"/>
      <c r="C9" s="2" t="n"/>
      <c r="D9" s="2" t="n"/>
      <c r="E9" s="11" t="n"/>
      <c r="F9" s="11" t="n"/>
      <c r="G9" s="2" t="n"/>
      <c r="H9" s="2" t="n"/>
    </row>
    <row r="10">
      <c r="A10" s="2" t="n"/>
      <c r="B10" s="2" t="n"/>
      <c r="C10" s="2" t="n"/>
      <c r="D10" s="2" t="n"/>
      <c r="E10" s="11" t="n"/>
      <c r="F10" s="11" t="n"/>
      <c r="G10" s="2" t="n"/>
      <c r="H10" s="2" t="n"/>
    </row>
    <row r="11">
      <c r="A11" s="2" t="n"/>
      <c r="B11" s="2" t="n"/>
      <c r="C11" s="2" t="n"/>
      <c r="D11" s="2" t="n"/>
      <c r="E11" s="11" t="n"/>
      <c r="F11" s="11" t="n"/>
      <c r="G11" s="2" t="n"/>
      <c r="H11" s="2" t="n"/>
    </row>
    <row r="12">
      <c r="A12" s="2" t="n"/>
      <c r="B12" s="2" t="n"/>
      <c r="C12" s="2" t="n"/>
      <c r="D12" s="2" t="n"/>
      <c r="E12" s="11" t="n"/>
      <c r="F12" s="11" t="n"/>
      <c r="G12" s="2" t="n"/>
      <c r="H12" s="2" t="n"/>
    </row>
    <row r="13">
      <c r="A13" s="2" t="n"/>
      <c r="B13" s="2" t="n"/>
      <c r="C13" s="2" t="n"/>
      <c r="D13" s="2" t="n"/>
      <c r="E13" s="11" t="n"/>
      <c r="F13" s="11" t="n"/>
      <c r="G13" s="2" t="n"/>
      <c r="H13" s="2" t="n"/>
    </row>
    <row r="14">
      <c r="A14" s="2" t="n"/>
      <c r="B14" s="2" t="n"/>
      <c r="C14" s="2" t="n"/>
      <c r="D14" s="2" t="n"/>
      <c r="E14" s="11" t="n"/>
      <c r="F14" s="11" t="n"/>
      <c r="G14" s="2" t="n"/>
      <c r="H14" s="2" t="n"/>
    </row>
    <row r="15">
      <c r="A15" s="2" t="n"/>
      <c r="B15" s="2" t="n"/>
      <c r="C15" s="2" t="n"/>
      <c r="D15" s="2" t="n"/>
      <c r="E15" s="11" t="n"/>
      <c r="F15" s="11" t="n"/>
      <c r="G15" s="2" t="n"/>
      <c r="H15" s="2" t="n"/>
    </row>
    <row r="16">
      <c r="A16" s="2" t="n"/>
      <c r="B16" s="2" t="n"/>
      <c r="C16" s="2" t="n"/>
      <c r="D16" s="2" t="n"/>
      <c r="E16" s="11" t="n"/>
      <c r="F16" s="11" t="n"/>
      <c r="G16" s="2" t="n"/>
      <c r="H16" s="2" t="n"/>
    </row>
    <row r="17">
      <c r="A17" s="2" t="n"/>
      <c r="B17" s="2" t="n"/>
      <c r="C17" s="2" t="n"/>
      <c r="D17" s="2" t="n"/>
      <c r="E17" s="11" t="n"/>
      <c r="F17" s="11" t="n"/>
      <c r="G17" s="2" t="n"/>
      <c r="H17" s="2" t="n"/>
    </row>
    <row r="18">
      <c r="A18" s="2" t="n"/>
      <c r="B18" s="2" t="n"/>
      <c r="C18" s="2" t="n"/>
      <c r="D18" s="2" t="n"/>
      <c r="E18" s="11" t="n"/>
      <c r="F18" s="11" t="n"/>
      <c r="G18" s="2" t="n"/>
      <c r="H18" s="2" t="n"/>
    </row>
    <row r="19">
      <c r="A19" s="2" t="n"/>
      <c r="B19" s="2" t="n"/>
      <c r="C19" s="2" t="n"/>
      <c r="D19" s="2" t="n"/>
      <c r="E19" s="11" t="n"/>
      <c r="F19" s="11" t="n"/>
      <c r="G19" s="2" t="n"/>
      <c r="H19" s="2" t="n"/>
    </row>
    <row r="20">
      <c r="A20" s="2" t="n"/>
      <c r="B20" s="2" t="n"/>
      <c r="C20" s="2" t="n"/>
      <c r="D20" s="2" t="n"/>
      <c r="E20" s="11" t="n"/>
      <c r="F20" s="11" t="n"/>
      <c r="G20" s="2" t="n"/>
      <c r="H20" s="2" t="n"/>
    </row>
    <row r="21">
      <c r="A21" s="2" t="n"/>
      <c r="B21" s="2" t="n"/>
      <c r="C21" s="2" t="n"/>
      <c r="D21" s="2" t="n"/>
      <c r="E21" s="11" t="n"/>
      <c r="F21" s="11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</sheetData>
  <conditionalFormatting sqref="A2:G21">
    <cfRule type="expression" priority="1" dxfId="0">
      <formula>AND($A2&lt;&gt;"", MOD(ROW()-2,7)=0)</formula>
    </cfRule>
    <cfRule type="expression" priority="2" dxfId="1">
      <formula>AND($A2&lt;&gt;"", MOD(ROW()-2,7)=1)</formula>
    </cfRule>
    <cfRule type="expression" priority="3" dxfId="2">
      <formula>AND($A2&lt;&gt;"", MOD(ROW()-2,7)=2)</formula>
    </cfRule>
    <cfRule type="expression" priority="4" dxfId="3">
      <formula>AND($A2&lt;&gt;"", MOD(ROW()-2,7)=3)</formula>
    </cfRule>
    <cfRule type="expression" priority="5" dxfId="4">
      <formula>AND($A2&lt;&gt;"", MOD(ROW()-2,7)=4)</formula>
    </cfRule>
    <cfRule type="expression" priority="6" dxfId="5">
      <formula>AND($A2&lt;&gt;"", MOD(ROW()-2,7)=5)</formula>
    </cfRule>
    <cfRule type="expression" priority="7" dxfId="6">
      <formula>AND($A2&lt;&gt;"", MOD(ROW()-2,7)=6)</formula>
    </cfRule>
  </conditionalFormatting>
  <dataValidations count="2">
    <dataValidation sqref="D2:D21" showDropDown="0" showInputMessage="0" showErrorMessage="0" allowBlank="1" type="list">
      <formula1>"Tent,Van,RV,Car camping,Cabin"</formula1>
    </dataValidation>
    <dataValidation sqref="E2:F21" showDropDown="0" showInputMessage="0" showErrorMessage="0" allowBlank="1" errorTitle="Date out of range" error="Trip runs Nov 22–28, 2026." type="date" operator="between">
      <formula1>2026-11-22</formula1>
      <formula2>2026-11-28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10" t="inlineStr">
        <is>
          <t>Camper</t>
        </is>
      </c>
      <c r="B1" s="12" t="n">
        <v>46348</v>
      </c>
      <c r="C1" s="12" t="n">
        <v>46349</v>
      </c>
      <c r="D1" s="12" t="n">
        <v>46350</v>
      </c>
      <c r="E1" s="12" t="n">
        <v>46351</v>
      </c>
      <c r="F1" s="12" t="n">
        <v>46352</v>
      </c>
      <c r="G1" s="12" t="n">
        <v>46353</v>
      </c>
      <c r="H1" s="12" t="n">
        <v>46354</v>
      </c>
      <c r="I1" s="2" t="n"/>
      <c r="J1" s="2" t="n"/>
    </row>
    <row r="2">
      <c r="A2" s="2">
        <f>IFERROR(INDEX(Campers[Name],1),"")</f>
        <v/>
      </c>
      <c r="B2" s="13" t="n"/>
      <c r="C2" s="13" t="n"/>
      <c r="D2" s="13" t="n"/>
      <c r="E2" s="13" t="n"/>
      <c r="F2" s="13" t="n"/>
      <c r="G2" s="13" t="n"/>
      <c r="H2" s="13" t="n"/>
      <c r="I2" s="2" t="n"/>
      <c r="J2" s="2" t="n"/>
    </row>
    <row r="3">
      <c r="A3" s="2">
        <f>IFERROR(INDEX(Campers[Name],2),"")</f>
        <v/>
      </c>
      <c r="B3" s="13" t="n"/>
      <c r="C3" s="13" t="n"/>
      <c r="D3" s="13" t="n"/>
      <c r="E3" s="13" t="n"/>
      <c r="F3" s="13" t="n"/>
      <c r="G3" s="13" t="n"/>
      <c r="H3" s="13" t="n"/>
      <c r="I3" s="2" t="n"/>
      <c r="J3" s="2" t="n"/>
    </row>
    <row r="4">
      <c r="A4" s="2">
        <f>IFERROR(INDEX(Campers[Name],3),"")</f>
        <v/>
      </c>
      <c r="B4" s="13" t="n"/>
      <c r="C4" s="13" t="n"/>
      <c r="D4" s="13" t="n"/>
      <c r="E4" s="13" t="n"/>
      <c r="F4" s="13" t="n"/>
      <c r="G4" s="13" t="n"/>
      <c r="H4" s="13" t="n"/>
      <c r="I4" s="2" t="n"/>
      <c r="J4" s="2" t="n"/>
    </row>
    <row r="5">
      <c r="A5" s="2">
        <f>IFERROR(INDEX(Campers[Name],4),"")</f>
        <v/>
      </c>
      <c r="B5" s="13" t="n"/>
      <c r="C5" s="13" t="n"/>
      <c r="D5" s="13" t="n"/>
      <c r="E5" s="13" t="n"/>
      <c r="F5" s="13" t="n"/>
      <c r="G5" s="13" t="n"/>
      <c r="H5" s="13" t="n"/>
      <c r="I5" s="2" t="n"/>
      <c r="J5" s="2" t="n"/>
    </row>
    <row r="6">
      <c r="A6" s="2">
        <f>IFERROR(INDEX(Campers[Name],5),"")</f>
        <v/>
      </c>
      <c r="B6" s="13" t="n"/>
      <c r="C6" s="13" t="n"/>
      <c r="D6" s="13" t="n"/>
      <c r="E6" s="13" t="n"/>
      <c r="F6" s="13" t="n"/>
      <c r="G6" s="13" t="n"/>
      <c r="H6" s="13" t="n"/>
      <c r="I6" s="2" t="n"/>
      <c r="J6" s="2" t="n"/>
    </row>
    <row r="7">
      <c r="A7" s="2">
        <f>IFERROR(INDEX(Campers[Name],6),"")</f>
        <v/>
      </c>
      <c r="B7" s="13" t="n"/>
      <c r="C7" s="13" t="n"/>
      <c r="D7" s="13" t="n"/>
      <c r="E7" s="13" t="n"/>
      <c r="F7" s="13" t="n"/>
      <c r="G7" s="13" t="n"/>
      <c r="H7" s="13" t="n"/>
      <c r="I7" s="2" t="n"/>
      <c r="J7" s="2" t="n"/>
    </row>
    <row r="8">
      <c r="A8" s="2">
        <f>IFERROR(INDEX(Campers[Name],7),"")</f>
        <v/>
      </c>
      <c r="B8" s="13" t="n"/>
      <c r="C8" s="13" t="n"/>
      <c r="D8" s="13" t="n"/>
      <c r="E8" s="13" t="n"/>
      <c r="F8" s="13" t="n"/>
      <c r="G8" s="13" t="n"/>
      <c r="H8" s="13" t="n"/>
      <c r="I8" s="2" t="n"/>
      <c r="J8" s="2" t="n"/>
    </row>
    <row r="9">
      <c r="A9" s="2">
        <f>IFERROR(INDEX(Campers[Name],8),"")</f>
        <v/>
      </c>
      <c r="B9" s="13" t="n"/>
      <c r="C9" s="13" t="n"/>
      <c r="D9" s="13" t="n"/>
      <c r="E9" s="13" t="n"/>
      <c r="F9" s="13" t="n"/>
      <c r="G9" s="13" t="n"/>
      <c r="H9" s="13" t="n"/>
      <c r="I9" s="2" t="n"/>
      <c r="J9" s="2" t="n"/>
    </row>
    <row r="10">
      <c r="A10" s="2">
        <f>IFERROR(INDEX(Campers[Name],9),"")</f>
        <v/>
      </c>
      <c r="B10" s="13" t="n"/>
      <c r="C10" s="13" t="n"/>
      <c r="D10" s="13" t="n"/>
      <c r="E10" s="13" t="n"/>
      <c r="F10" s="13" t="n"/>
      <c r="G10" s="13" t="n"/>
      <c r="H10" s="13" t="n"/>
      <c r="I10" s="2" t="n"/>
      <c r="J10" s="2" t="n"/>
    </row>
    <row r="11">
      <c r="A11" s="2">
        <f>IFERROR(INDEX(Campers[Name],10),"")</f>
        <v/>
      </c>
      <c r="B11" s="13" t="n"/>
      <c r="C11" s="13" t="n"/>
      <c r="D11" s="13" t="n"/>
      <c r="E11" s="13" t="n"/>
      <c r="F11" s="13" t="n"/>
      <c r="G11" s="13" t="n"/>
      <c r="H11" s="13" t="n"/>
      <c r="I11" s="2" t="n"/>
      <c r="J11" s="2" t="n"/>
    </row>
    <row r="12">
      <c r="A12" s="2">
        <f>IFERROR(INDEX(Campers[Name],11),"")</f>
        <v/>
      </c>
      <c r="B12" s="13" t="n"/>
      <c r="C12" s="13" t="n"/>
      <c r="D12" s="13" t="n"/>
      <c r="E12" s="13" t="n"/>
      <c r="F12" s="13" t="n"/>
      <c r="G12" s="13" t="n"/>
      <c r="H12" s="13" t="n"/>
      <c r="I12" s="2" t="n"/>
      <c r="J12" s="2" t="n"/>
    </row>
    <row r="13">
      <c r="A13" s="2">
        <f>IFERROR(INDEX(Campers[Name],12),"")</f>
        <v/>
      </c>
      <c r="B13" s="13" t="n"/>
      <c r="C13" s="13" t="n"/>
      <c r="D13" s="13" t="n"/>
      <c r="E13" s="13" t="n"/>
      <c r="F13" s="13" t="n"/>
      <c r="G13" s="13" t="n"/>
      <c r="H13" s="13" t="n"/>
      <c r="I13" s="2" t="n"/>
      <c r="J13" s="2" t="n"/>
    </row>
    <row r="14">
      <c r="A14" s="2">
        <f>IFERROR(INDEX(Campers[Name],13),"")</f>
        <v/>
      </c>
      <c r="B14" s="13" t="n"/>
      <c r="C14" s="13" t="n"/>
      <c r="D14" s="13" t="n"/>
      <c r="E14" s="13" t="n"/>
      <c r="F14" s="13" t="n"/>
      <c r="G14" s="13" t="n"/>
      <c r="H14" s="13" t="n"/>
      <c r="I14" s="2" t="n"/>
      <c r="J14" s="2" t="n"/>
    </row>
    <row r="15">
      <c r="A15" s="2">
        <f>IFERROR(INDEX(Campers[Name],14),"")</f>
        <v/>
      </c>
      <c r="B15" s="13" t="n"/>
      <c r="C15" s="13" t="n"/>
      <c r="D15" s="13" t="n"/>
      <c r="E15" s="13" t="n"/>
      <c r="F15" s="13" t="n"/>
      <c r="G15" s="13" t="n"/>
      <c r="H15" s="13" t="n"/>
      <c r="I15" s="2" t="n"/>
      <c r="J15" s="2" t="n"/>
    </row>
    <row r="16">
      <c r="A16" s="2">
        <f>IFERROR(INDEX(Campers[Name],15),"")</f>
        <v/>
      </c>
      <c r="B16" s="13" t="n"/>
      <c r="C16" s="13" t="n"/>
      <c r="D16" s="13" t="n"/>
      <c r="E16" s="13" t="n"/>
      <c r="F16" s="13" t="n"/>
      <c r="G16" s="13" t="n"/>
      <c r="H16" s="13" t="n"/>
      <c r="I16" s="2" t="n"/>
      <c r="J16" s="2" t="n"/>
    </row>
    <row r="17">
      <c r="A17" s="2">
        <f>IFERROR(INDEX(Campers[Name],16),"")</f>
        <v/>
      </c>
      <c r="B17" s="13" t="n"/>
      <c r="C17" s="13" t="n"/>
      <c r="D17" s="13" t="n"/>
      <c r="E17" s="13" t="n"/>
      <c r="F17" s="13" t="n"/>
      <c r="G17" s="13" t="n"/>
      <c r="H17" s="13" t="n"/>
      <c r="I17" s="2" t="n"/>
      <c r="J17" s="2" t="n"/>
    </row>
    <row r="18">
      <c r="A18" s="2">
        <f>IFERROR(INDEX(Campers[Name],17),"")</f>
        <v/>
      </c>
      <c r="B18" s="13" t="n"/>
      <c r="C18" s="13" t="n"/>
      <c r="D18" s="13" t="n"/>
      <c r="E18" s="13" t="n"/>
      <c r="F18" s="13" t="n"/>
      <c r="G18" s="13" t="n"/>
      <c r="H18" s="13" t="n"/>
      <c r="I18" s="2" t="n"/>
      <c r="J18" s="2" t="n"/>
    </row>
    <row r="19">
      <c r="A19" s="2">
        <f>IFERROR(INDEX(Campers[Name],18),"")</f>
        <v/>
      </c>
      <c r="B19" s="13" t="n"/>
      <c r="C19" s="13" t="n"/>
      <c r="D19" s="13" t="n"/>
      <c r="E19" s="13" t="n"/>
      <c r="F19" s="13" t="n"/>
      <c r="G19" s="13" t="n"/>
      <c r="H19" s="13" t="n"/>
      <c r="I19" s="2" t="n"/>
      <c r="J19" s="2" t="n"/>
    </row>
    <row r="20">
      <c r="A20" s="2">
        <f>IFERROR(INDEX(Campers[Name],19),"")</f>
        <v/>
      </c>
      <c r="B20" s="13" t="n"/>
      <c r="C20" s="13" t="n"/>
      <c r="D20" s="13" t="n"/>
      <c r="E20" s="13" t="n"/>
      <c r="F20" s="13" t="n"/>
      <c r="G20" s="13" t="n"/>
      <c r="H20" s="13" t="n"/>
      <c r="I20" s="2" t="n"/>
      <c r="J20" s="2" t="n"/>
    </row>
    <row r="21">
      <c r="A21" s="2">
        <f>IFERROR(INDEX(Campers[Name],20),"")</f>
        <v/>
      </c>
      <c r="B21" s="13" t="n"/>
      <c r="C21" s="13" t="n"/>
      <c r="D21" s="13" t="n"/>
      <c r="E21" s="13" t="n"/>
      <c r="F21" s="13" t="n"/>
      <c r="G21" s="13" t="n"/>
      <c r="H21" s="13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14" t="inlineStr">
        <is>
          <t>How this works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15" t="inlineStr">
        <is>
          <t>Rows auto-populate from the Campers tab in order. Each cell fills when that day falls between the camper's Arrival and Departure dates.</t>
        </is>
      </c>
      <c r="I24" s="2" t="n"/>
      <c r="J24" s="2" t="n"/>
    </row>
    <row r="25"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</sheetData>
  <mergeCells count="1">
    <mergeCell ref="A24:H25"/>
  </mergeCells>
  <conditionalFormatting sqref="B2:H21">
    <cfRule type="expression" priority="1" dxfId="7">
      <formula>AND(MOD(ROW()-2,7)=0,INDEX(Campers[Name],ROW()-1)&lt;&gt;"",B$1&gt;=INDEX(Campers[Arrival],ROW()-1),B$1&lt;=INDEX(Campers[Departure],ROW()-1))</formula>
    </cfRule>
    <cfRule type="expression" priority="2" dxfId="8">
      <formula>AND(MOD(ROW()-2,7)=1,INDEX(Campers[Name],ROW()-1)&lt;&gt;"",B$1&gt;=INDEX(Campers[Arrival],ROW()-1),B$1&lt;=INDEX(Campers[Departure],ROW()-1))</formula>
    </cfRule>
    <cfRule type="expression" priority="3" dxfId="9">
      <formula>AND(MOD(ROW()-2,7)=2,INDEX(Campers[Name],ROW()-1)&lt;&gt;"",B$1&gt;=INDEX(Campers[Arrival],ROW()-1),B$1&lt;=INDEX(Campers[Departure],ROW()-1))</formula>
    </cfRule>
    <cfRule type="expression" priority="4" dxfId="10">
      <formula>AND(MOD(ROW()-2,7)=3,INDEX(Campers[Name],ROW()-1)&lt;&gt;"",B$1&gt;=INDEX(Campers[Arrival],ROW()-1),B$1&lt;=INDEX(Campers[Departure],ROW()-1))</formula>
    </cfRule>
    <cfRule type="expression" priority="5" dxfId="11">
      <formula>AND(MOD(ROW()-2,7)=4,INDEX(Campers[Name],ROW()-1)&lt;&gt;"",B$1&gt;=INDEX(Campers[Arrival],ROW()-1),B$1&lt;=INDEX(Campers[Departure],ROW()-1))</formula>
    </cfRule>
    <cfRule type="expression" priority="6" dxfId="12">
      <formula>AND(MOD(ROW()-2,7)=5,INDEX(Campers[Name],ROW()-1)&lt;&gt;"",B$1&gt;=INDEX(Campers[Arrival],ROW()-1),B$1&lt;=INDEX(Campers[Departure],ROW()-1))</formula>
    </cfRule>
    <cfRule type="expression" priority="7" dxfId="13">
      <formula>AND(MOD(ROW()-2,7)=6,INDEX(Campers[Name],ROW()-1)&lt;&gt;"",B$1&gt;=INDEX(Campers[Arrival],ROW()-1),B$1&lt;=INDEX(Campers[Departure],ROW()-1))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4" customWidth="1" min="4" max="4"/>
    <col width="14" customWidth="1" min="5" max="5"/>
    <col width="36" customWidth="1" min="6" max="6"/>
  </cols>
  <sheetData>
    <row r="1" ht="24" customHeight="1">
      <c r="A1" s="10" t="inlineStr">
        <is>
          <t>ID</t>
        </is>
      </c>
      <c r="B1" s="10" t="inlineStr">
        <is>
          <t>Holder</t>
        </is>
      </c>
      <c r="C1" s="10" t="inlineStr">
        <is>
          <t>Sites (CSV)</t>
        </is>
      </c>
      <c r="D1" s="10" t="inlineStr">
        <is>
          <t>Arrival</t>
        </is>
      </c>
      <c r="E1" s="10" t="inlineStr">
        <is>
          <t>Departure</t>
        </is>
      </c>
      <c r="F1" s="10" t="inlineStr">
        <is>
          <t>Note</t>
        </is>
      </c>
      <c r="G1" s="2" t="n"/>
      <c r="H1" s="2" t="n"/>
    </row>
    <row r="2">
      <c r="A2" s="2" t="inlineStr">
        <is>
          <t>mpi8nujeywuvz</t>
        </is>
      </c>
      <c r="B2" s="2" t="inlineStr">
        <is>
          <t>Ryan B</t>
        </is>
      </c>
      <c r="C2" s="2" t="inlineStr">
        <is>
          <t>25</t>
        </is>
      </c>
      <c r="D2" s="11" t="n">
        <v>46348</v>
      </c>
      <c r="E2" s="11" t="n">
        <v>46353</v>
      </c>
      <c r="F2" s="2" t="inlineStr"/>
      <c r="G2" s="2" t="n"/>
      <c r="H2" s="2" t="n"/>
    </row>
    <row r="3">
      <c r="A3" s="2" t="n"/>
      <c r="B3" s="2" t="n"/>
      <c r="C3" s="2" t="n"/>
      <c r="D3" s="11" t="n"/>
      <c r="E3" s="11" t="n"/>
      <c r="F3" s="2" t="n"/>
      <c r="G3" s="2" t="n"/>
      <c r="H3" s="2" t="n"/>
    </row>
    <row r="4">
      <c r="A4" s="2" t="n"/>
      <c r="B4" s="2" t="n"/>
      <c r="C4" s="2" t="n"/>
      <c r="D4" s="11" t="n"/>
      <c r="E4" s="11" t="n"/>
      <c r="F4" s="2" t="n"/>
      <c r="G4" s="2" t="n"/>
      <c r="H4" s="2" t="n"/>
    </row>
    <row r="5">
      <c r="A5" s="2" t="n"/>
      <c r="B5" s="2" t="n"/>
      <c r="C5" s="2" t="n"/>
      <c r="D5" s="11" t="n"/>
      <c r="E5" s="11" t="n"/>
      <c r="F5" s="2" t="n"/>
      <c r="G5" s="2" t="n"/>
      <c r="H5" s="2" t="n"/>
    </row>
    <row r="6">
      <c r="A6" s="2" t="n"/>
      <c r="B6" s="2" t="n"/>
      <c r="C6" s="2" t="n"/>
      <c r="D6" s="11" t="n"/>
      <c r="E6" s="11" t="n"/>
      <c r="F6" s="2" t="n"/>
      <c r="G6" s="2" t="n"/>
      <c r="H6" s="2" t="n"/>
    </row>
    <row r="7">
      <c r="A7" s="2" t="n"/>
      <c r="B7" s="2" t="n"/>
      <c r="C7" s="2" t="n"/>
      <c r="D7" s="11" t="n"/>
      <c r="E7" s="11" t="n"/>
      <c r="F7" s="2" t="n"/>
      <c r="G7" s="2" t="n"/>
      <c r="H7" s="2" t="n"/>
    </row>
    <row r="8">
      <c r="A8" s="2" t="n"/>
      <c r="B8" s="2" t="n"/>
      <c r="C8" s="2" t="n"/>
      <c r="D8" s="11" t="n"/>
      <c r="E8" s="11" t="n"/>
      <c r="F8" s="2" t="n"/>
      <c r="G8" s="2" t="n"/>
      <c r="H8" s="2" t="n"/>
    </row>
    <row r="9">
      <c r="A9" s="2" t="n"/>
      <c r="B9" s="2" t="n"/>
      <c r="C9" s="2" t="n"/>
      <c r="D9" s="11" t="n"/>
      <c r="E9" s="11" t="n"/>
      <c r="F9" s="2" t="n"/>
      <c r="G9" s="2" t="n"/>
      <c r="H9" s="2" t="n"/>
    </row>
    <row r="10">
      <c r="A10" s="2" t="n"/>
      <c r="B10" s="2" t="n"/>
      <c r="C10" s="2" t="n"/>
      <c r="D10" s="11" t="n"/>
      <c r="E10" s="11" t="n"/>
      <c r="F10" s="2" t="n"/>
      <c r="G10" s="2" t="n"/>
      <c r="H10" s="2" t="n"/>
    </row>
    <row r="11">
      <c r="A11" s="2" t="n"/>
      <c r="B11" s="2" t="n"/>
      <c r="C11" s="2" t="n"/>
      <c r="D11" s="11" t="n"/>
      <c r="E11" s="11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</cols>
  <sheetData>
    <row r="1" ht="24" customHeight="1">
      <c r="A1" s="10" t="inlineStr">
        <is>
          <t>Reservation ID</t>
        </is>
      </c>
      <c r="B1" s="10" t="inlineStr">
        <is>
          <t>Site #</t>
        </is>
      </c>
      <c r="C1" s="10" t="inlineStr">
        <is>
          <t>Used By</t>
        </is>
      </c>
      <c r="D1" s="2" t="n"/>
      <c r="E1" s="2" t="n"/>
      <c r="F1" s="2" t="n"/>
    </row>
    <row r="2">
      <c r="A2" s="2" t="inlineStr">
        <is>
          <t>mpi8nujeywuvz</t>
        </is>
      </c>
      <c r="B2" s="2" t="inlineStr">
        <is>
          <t>25</t>
        </is>
      </c>
      <c r="C2" s="2" t="inlineStr">
        <is>
          <t>Ryan B.</t>
        </is>
      </c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</sheetData>
  <conditionalFormatting sqref="A2:C31">
    <cfRule type="expression" priority="1" dxfId="14">
      <formula>AND($A2&lt;&gt;"", $C2="")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60" customWidth="1" min="4" max="4"/>
  </cols>
  <sheetData>
    <row r="1" ht="24" customHeight="1">
      <c r="A1" s="10" t="inlineStr">
        <is>
          <t>Day</t>
        </is>
      </c>
      <c r="B1" s="10" t="inlineStr">
        <is>
          <t>Date</t>
        </is>
      </c>
      <c r="C1" s="10" t="inlineStr">
        <is>
          <t>Title</t>
        </is>
      </c>
      <c r="D1" s="10" t="inlineStr">
        <is>
          <t>Activities (one per line — Alt+Enter)</t>
        </is>
      </c>
      <c r="E1" s="2" t="n"/>
      <c r="F1" s="2" t="n"/>
    </row>
    <row r="2" ht="60" customHeight="1">
      <c r="A2" s="2" t="n"/>
      <c r="B2" s="2" t="n"/>
      <c r="C2" s="2" t="n"/>
      <c r="D2" s="16" t="n"/>
      <c r="E2" s="2" t="n"/>
      <c r="F2" s="2" t="n"/>
    </row>
    <row r="3" ht="60" customHeight="1">
      <c r="A3" s="2" t="n"/>
      <c r="B3" s="2" t="n"/>
      <c r="C3" s="2" t="n"/>
      <c r="D3" s="16" t="n"/>
      <c r="E3" s="2" t="n"/>
      <c r="F3" s="2" t="n"/>
    </row>
    <row r="4" ht="60" customHeight="1">
      <c r="A4" s="2" t="n"/>
      <c r="B4" s="2" t="n"/>
      <c r="C4" s="2" t="n"/>
      <c r="D4" s="16" t="n"/>
      <c r="E4" s="2" t="n"/>
      <c r="F4" s="2" t="n"/>
    </row>
    <row r="5" ht="60" customHeight="1">
      <c r="A5" s="2" t="n"/>
      <c r="B5" s="2" t="n"/>
      <c r="C5" s="2" t="n"/>
      <c r="D5" s="16" t="n"/>
      <c r="E5" s="2" t="n"/>
      <c r="F5" s="2" t="n"/>
    </row>
    <row r="6" ht="60" customHeight="1">
      <c r="A6" s="2" t="n"/>
      <c r="B6" s="2" t="n"/>
      <c r="C6" s="2" t="n"/>
      <c r="D6" s="16" t="n"/>
      <c r="E6" s="2" t="n"/>
      <c r="F6" s="2" t="n"/>
    </row>
    <row r="7" ht="60" customHeight="1">
      <c r="A7" s="2" t="n"/>
      <c r="B7" s="2" t="n"/>
      <c r="C7" s="2" t="n"/>
      <c r="D7" s="16" t="n"/>
      <c r="E7" s="2" t="n"/>
      <c r="F7" s="2" t="n"/>
    </row>
    <row r="8" ht="60" customHeight="1">
      <c r="A8" s="2" t="n"/>
      <c r="B8" s="2" t="n"/>
      <c r="C8" s="2" t="n"/>
      <c r="D8" s="16" t="n"/>
      <c r="E8" s="2" t="n"/>
      <c r="F8" s="2" t="n"/>
    </row>
    <row r="9" ht="60" customHeight="1">
      <c r="A9" s="2" t="n"/>
      <c r="B9" s="2" t="n"/>
      <c r="C9" s="2" t="n"/>
      <c r="D9" s="16" t="n"/>
      <c r="E9" s="2" t="n"/>
      <c r="F9" s="2" t="n"/>
    </row>
    <row r="10" ht="60" customHeight="1">
      <c r="A10" s="2" t="n"/>
      <c r="B10" s="2" t="n"/>
      <c r="C10" s="2" t="n"/>
      <c r="D10" s="16" t="n"/>
      <c r="E10" s="2" t="n"/>
      <c r="F10" s="2" t="n"/>
    </row>
    <row r="11" ht="60" customHeight="1">
      <c r="A11" s="2" t="n"/>
      <c r="B11" s="2" t="n"/>
      <c r="C11" s="2" t="n"/>
      <c r="D11" s="16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36" customWidth="1" min="4" max="4"/>
    <col width="22" customWidth="1" min="6" max="6"/>
    <col width="10" customWidth="1" min="7" max="7"/>
  </cols>
  <sheetData>
    <row r="1" ht="24" customHeight="1">
      <c r="A1" s="10" t="inlineStr">
        <is>
          <t>Name</t>
        </is>
      </c>
      <c r="B1" s="10" t="inlineStr">
        <is>
          <t>Bringing</t>
        </is>
      </c>
      <c r="C1" s="10" t="inlineStr">
        <is>
          <t>Category</t>
        </is>
      </c>
      <c r="D1" s="10" t="inlineStr">
        <is>
          <t>Note</t>
        </is>
      </c>
      <c r="E1" s="2" t="n"/>
      <c r="F1" s="10" t="inlineStr">
        <is>
          <t>Count by category</t>
        </is>
      </c>
    </row>
    <row r="2">
      <c r="A2" s="2" t="n"/>
      <c r="B2" s="2" t="n"/>
      <c r="C2" s="2" t="n"/>
      <c r="D2" s="2" t="n"/>
      <c r="E2" s="2" t="n"/>
      <c r="F2" s="9" t="inlineStr">
        <is>
          <t>Main</t>
        </is>
      </c>
      <c r="G2" s="17">
        <f>COUNTIF(Potluck[Category], "Main")</f>
        <v/>
      </c>
    </row>
    <row r="3">
      <c r="A3" s="2" t="n"/>
      <c r="B3" s="2" t="n"/>
      <c r="C3" s="2" t="n"/>
      <c r="D3" s="2" t="n"/>
      <c r="E3" s="2" t="n"/>
      <c r="F3" s="9" t="inlineStr">
        <is>
          <t>Side</t>
        </is>
      </c>
      <c r="G3" s="17">
        <f>COUNTIF(Potluck[Category], "Side")</f>
        <v/>
      </c>
    </row>
    <row r="4">
      <c r="A4" s="2" t="n"/>
      <c r="B4" s="2" t="n"/>
      <c r="C4" s="2" t="n"/>
      <c r="D4" s="2" t="n"/>
      <c r="E4" s="2" t="n"/>
      <c r="F4" s="9" t="inlineStr">
        <is>
          <t>Appetizer</t>
        </is>
      </c>
      <c r="G4" s="17">
        <f>COUNTIF(Potluck[Category], "Appetizer")</f>
        <v/>
      </c>
    </row>
    <row r="5">
      <c r="A5" s="2" t="n"/>
      <c r="B5" s="2" t="n"/>
      <c r="C5" s="2" t="n"/>
      <c r="D5" s="2" t="n"/>
      <c r="E5" s="2" t="n"/>
      <c r="F5" s="9" t="inlineStr">
        <is>
          <t>Dessert</t>
        </is>
      </c>
      <c r="G5" s="17">
        <f>COUNTIF(Potluck[Category], "Dessert")</f>
        <v/>
      </c>
    </row>
    <row r="6">
      <c r="A6" s="2" t="n"/>
      <c r="B6" s="2" t="n"/>
      <c r="C6" s="2" t="n"/>
      <c r="D6" s="2" t="n"/>
      <c r="E6" s="2" t="n"/>
      <c r="F6" s="9" t="inlineStr">
        <is>
          <t>Drinks</t>
        </is>
      </c>
      <c r="G6" s="17">
        <f>COUNTIF(Potluck[Category], "Drinks")</f>
        <v/>
      </c>
    </row>
    <row r="7">
      <c r="A7" s="2" t="n"/>
      <c r="B7" s="2" t="n"/>
      <c r="C7" s="2" t="n"/>
      <c r="D7" s="2" t="n"/>
      <c r="E7" s="2" t="n"/>
      <c r="F7" s="9" t="inlineStr">
        <is>
          <t>Snacks</t>
        </is>
      </c>
      <c r="G7" s="17">
        <f>COUNTIF(Potluck[Category], "Snacks")</f>
        <v/>
      </c>
    </row>
    <row r="8">
      <c r="A8" s="2" t="n"/>
      <c r="B8" s="2" t="n"/>
      <c r="C8" s="2" t="n"/>
      <c r="D8" s="2" t="n"/>
      <c r="E8" s="2" t="n"/>
      <c r="F8" s="9" t="inlineStr">
        <is>
          <t>Other</t>
        </is>
      </c>
      <c r="G8" s="17">
        <f>COUNTIF(Potluck[Category], "Other")</f>
        <v/>
      </c>
    </row>
    <row r="9">
      <c r="A9" s="2" t="n"/>
      <c r="B9" s="2" t="n"/>
      <c r="C9" s="2" t="n"/>
      <c r="D9" s="2" t="n"/>
      <c r="E9" s="2" t="n"/>
      <c r="F9" s="14" t="inlineStr">
        <is>
          <t>Total</t>
        </is>
      </c>
      <c r="G9" s="17">
        <f>COUNTA(Potluck[Name])</f>
        <v/>
      </c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</sheetData>
  <conditionalFormatting sqref="C2:C21">
    <cfRule type="expression" priority="1" dxfId="15">
      <formula>$C2="Main"</formula>
    </cfRule>
    <cfRule type="expression" priority="2" dxfId="16">
      <formula>$C2="Side"</formula>
    </cfRule>
    <cfRule type="expression" priority="3" dxfId="17">
      <formula>$C2="Appetizer"</formula>
    </cfRule>
    <cfRule type="expression" priority="4" dxfId="18">
      <formula>$C2="Dessert"</formula>
    </cfRule>
    <cfRule type="expression" priority="5" dxfId="19">
      <formula>$C2="Drinks"</formula>
    </cfRule>
    <cfRule type="expression" priority="6" dxfId="20">
      <formula>$C2="Snacks"</formula>
    </cfRule>
    <cfRule type="expression" priority="7" dxfId="21">
      <formula>$C2="Other"</formula>
    </cfRule>
  </conditionalFormatting>
  <dataValidations count="1">
    <dataValidation sqref="C2:C21" showDropDown="0" showInputMessage="0" showErrorMessage="0" allowBlank="1" type="list">
      <formula1>"Main,Side,Appetizer,Dessert,Drinks,Snacks,Other"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30" customWidth="1" min="4" max="4"/>
    <col width="14" customWidth="1" min="6" max="6"/>
    <col width="10" customWidth="1" min="7" max="7"/>
  </cols>
  <sheetData>
    <row r="1" ht="24" customHeight="1">
      <c r="A1" s="10" t="inlineStr">
        <is>
          <t>Name</t>
        </is>
      </c>
      <c r="B1" s="10" t="inlineStr">
        <is>
          <t>Size</t>
        </is>
      </c>
      <c r="C1" s="10" t="inlineStr">
        <is>
          <t>Qty</t>
        </is>
      </c>
      <c r="D1" s="10" t="inlineStr">
        <is>
          <t>Note</t>
        </is>
      </c>
      <c r="E1" s="2" t="n"/>
      <c r="F1" s="10" t="inlineStr">
        <is>
          <t>Tally by size</t>
        </is>
      </c>
      <c r="G1" s="2" t="n"/>
      <c r="H1" s="2" t="n"/>
    </row>
    <row r="2">
      <c r="A2" s="2" t="n"/>
      <c r="B2" s="2" t="n"/>
      <c r="C2" s="2" t="n"/>
      <c r="D2" s="2" t="n"/>
      <c r="E2" s="2" t="n"/>
      <c r="F2" s="9" t="inlineStr">
        <is>
          <t>XS</t>
        </is>
      </c>
      <c r="G2" s="8">
        <f>SUMIF(TShirts[Size], "XS", TShirts[Qty])</f>
        <v/>
      </c>
      <c r="H2" s="2" t="n"/>
    </row>
    <row r="3">
      <c r="A3" s="2" t="n"/>
      <c r="B3" s="2" t="n"/>
      <c r="C3" s="2" t="n"/>
      <c r="D3" s="2" t="n"/>
      <c r="E3" s="2" t="n"/>
      <c r="F3" s="9" t="inlineStr">
        <is>
          <t>S</t>
        </is>
      </c>
      <c r="G3" s="8">
        <f>SUMIF(TShirts[Size], "S", TShirts[Qty])</f>
        <v/>
      </c>
      <c r="H3" s="2" t="n"/>
    </row>
    <row r="4">
      <c r="A4" s="2" t="n"/>
      <c r="B4" s="2" t="n"/>
      <c r="C4" s="2" t="n"/>
      <c r="D4" s="2" t="n"/>
      <c r="E4" s="2" t="n"/>
      <c r="F4" s="9" t="inlineStr">
        <is>
          <t>M</t>
        </is>
      </c>
      <c r="G4" s="8">
        <f>SUMIF(TShirts[Size], "M", TShirts[Qty])</f>
        <v/>
      </c>
      <c r="H4" s="2" t="n"/>
    </row>
    <row r="5">
      <c r="A5" s="2" t="n"/>
      <c r="B5" s="2" t="n"/>
      <c r="C5" s="2" t="n"/>
      <c r="D5" s="2" t="n"/>
      <c r="E5" s="2" t="n"/>
      <c r="F5" s="9" t="inlineStr">
        <is>
          <t>L</t>
        </is>
      </c>
      <c r="G5" s="8">
        <f>SUMIF(TShirts[Size], "L", TShirts[Qty])</f>
        <v/>
      </c>
      <c r="H5" s="2" t="n"/>
    </row>
    <row r="6">
      <c r="A6" s="2" t="n"/>
      <c r="B6" s="2" t="n"/>
      <c r="C6" s="2" t="n"/>
      <c r="D6" s="2" t="n"/>
      <c r="E6" s="2" t="n"/>
      <c r="F6" s="9" t="inlineStr">
        <is>
          <t>XL</t>
        </is>
      </c>
      <c r="G6" s="8">
        <f>SUMIF(TShirts[Size], "XL", TShirts[Qty])</f>
        <v/>
      </c>
      <c r="H6" s="2" t="n"/>
    </row>
    <row r="7">
      <c r="A7" s="2" t="n"/>
      <c r="B7" s="2" t="n"/>
      <c r="C7" s="2" t="n"/>
      <c r="D7" s="2" t="n"/>
      <c r="E7" s="2" t="n"/>
      <c r="F7" s="9" t="inlineStr">
        <is>
          <t>2XL</t>
        </is>
      </c>
      <c r="G7" s="8">
        <f>SUMIF(TShirts[Size], "2XL", TShirts[Qty])</f>
        <v/>
      </c>
      <c r="H7" s="2" t="n"/>
    </row>
    <row r="8">
      <c r="A8" s="2" t="n"/>
      <c r="B8" s="2" t="n"/>
      <c r="C8" s="2" t="n"/>
      <c r="D8" s="2" t="n"/>
      <c r="E8" s="2" t="n"/>
      <c r="F8" s="14" t="inlineStr">
        <is>
          <t>Total</t>
        </is>
      </c>
      <c r="G8" s="8">
        <f>SUM(TShirts[Qty])</f>
        <v/>
      </c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</sheetData>
  <dataValidations count="1">
    <dataValidation sqref="B2:B21" showDropDown="0" showInputMessage="0" showErrorMessage="0" allowBlank="1" type="list">
      <formula1>"XS,S,M,L,XL,2XL"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 ht="24" customHeight="1">
      <c r="A1" s="10" t="inlineStr">
        <is>
          <t>Item</t>
        </is>
      </c>
      <c r="B1" s="10" t="inlineStr">
        <is>
          <t>Category</t>
        </is>
      </c>
      <c r="C1" s="2" t="n"/>
      <c r="D1" s="2" t="n"/>
    </row>
    <row r="2">
      <c r="A2" s="2" t="inlineStr">
        <is>
          <t>Tent (4-person)</t>
        </is>
      </c>
      <c r="B2" s="2" t="inlineStr">
        <is>
          <t>Shelter</t>
        </is>
      </c>
      <c r="C2" s="2" t="n"/>
      <c r="D2" s="2" t="n"/>
    </row>
    <row r="3">
      <c r="A3" s="2" t="inlineStr">
        <is>
          <t>Sleeping bag (20°F rated)</t>
        </is>
      </c>
      <c r="B3" s="2" t="inlineStr">
        <is>
          <t>Shelter</t>
        </is>
      </c>
      <c r="C3" s="2" t="n"/>
      <c r="D3" s="2" t="n"/>
    </row>
    <row r="4">
      <c r="A4" s="2" t="inlineStr">
        <is>
          <t>Sleeping pad or air mattress</t>
        </is>
      </c>
      <c r="B4" s="2" t="inlineStr">
        <is>
          <t>Shelter</t>
        </is>
      </c>
      <c r="C4" s="2" t="n"/>
      <c r="D4" s="2" t="n"/>
    </row>
    <row r="5">
      <c r="A5" s="2" t="inlineStr">
        <is>
          <t>Camp chairs</t>
        </is>
      </c>
      <c r="B5" s="2" t="inlineStr">
        <is>
          <t>Shelter</t>
        </is>
      </c>
      <c r="C5" s="2" t="n"/>
      <c r="D5" s="2" t="n"/>
    </row>
    <row r="6">
      <c r="A6" s="2" t="inlineStr">
        <is>
          <t>Folding table</t>
        </is>
      </c>
      <c r="B6" s="2" t="inlineStr">
        <is>
          <t>Shelter</t>
        </is>
      </c>
      <c r="C6" s="2" t="n"/>
      <c r="D6" s="2" t="n"/>
    </row>
    <row r="7">
      <c r="A7" s="2" t="inlineStr">
        <is>
          <t>Camp stove + fuel</t>
        </is>
      </c>
      <c r="B7" s="2" t="inlineStr">
        <is>
          <t>Cooking</t>
        </is>
      </c>
      <c r="C7" s="2" t="n"/>
      <c r="D7" s="2" t="n"/>
    </row>
    <row r="8">
      <c r="A8" s="2" t="inlineStr">
        <is>
          <t>Cooler with ice</t>
        </is>
      </c>
      <c r="B8" s="2" t="inlineStr">
        <is>
          <t>Cooking</t>
        </is>
      </c>
      <c r="C8" s="2" t="n"/>
      <c r="D8" s="2" t="n"/>
    </row>
    <row r="9">
      <c r="A9" s="2" t="inlineStr">
        <is>
          <t>Cast iron skillet</t>
        </is>
      </c>
      <c r="B9" s="2" t="inlineStr">
        <is>
          <t>Cooking</t>
        </is>
      </c>
      <c r="C9" s="2" t="n"/>
      <c r="D9" s="2" t="n"/>
    </row>
    <row r="10">
      <c r="A10" s="2" t="inlineStr">
        <is>
          <t>Cooking pot</t>
        </is>
      </c>
      <c r="B10" s="2" t="inlineStr">
        <is>
          <t>Cooking</t>
        </is>
      </c>
      <c r="C10" s="2" t="n"/>
      <c r="D10" s="2" t="n"/>
    </row>
    <row r="11">
      <c r="A11" s="2" t="inlineStr">
        <is>
          <t>Plates, cups, utensils</t>
        </is>
      </c>
      <c r="B11" s="2" t="inlineStr">
        <is>
          <t>Cooking</t>
        </is>
      </c>
      <c r="C11" s="2" t="n"/>
      <c r="D11" s="2" t="n"/>
    </row>
    <row r="12">
      <c r="A12" s="2" t="inlineStr">
        <is>
          <t>Turkey (or protein main)</t>
        </is>
      </c>
      <c r="B12" s="2" t="inlineStr">
        <is>
          <t>Food</t>
        </is>
      </c>
      <c r="C12" s="2" t="n"/>
      <c r="D12" s="2" t="n"/>
    </row>
    <row r="13">
      <c r="A13" s="2" t="inlineStr">
        <is>
          <t>Stuffing, mashed potatoes, sides</t>
        </is>
      </c>
      <c r="B13" s="2" t="inlineStr">
        <is>
          <t>Food</t>
        </is>
      </c>
      <c r="C13" s="2" t="n"/>
      <c r="D13" s="2" t="n"/>
    </row>
    <row r="14">
      <c r="A14" s="2" t="inlineStr">
        <is>
          <t>Firewood (2 bundles/night)</t>
        </is>
      </c>
      <c r="B14" s="2" t="inlineStr">
        <is>
          <t>Food</t>
        </is>
      </c>
      <c r="C14" s="2" t="n"/>
      <c r="D14" s="2" t="n"/>
    </row>
    <row r="15">
      <c r="A15" s="2" t="inlineStr">
        <is>
          <t>Coffee + coffee maker</t>
        </is>
      </c>
      <c r="B15" s="2" t="inlineStr">
        <is>
          <t>Food</t>
        </is>
      </c>
      <c r="C15" s="2" t="n"/>
      <c r="D15" s="2" t="n"/>
    </row>
    <row r="16">
      <c r="A16" s="2" t="inlineStr">
        <is>
          <t>Drinks &amp; cooler drinks</t>
        </is>
      </c>
      <c r="B16" s="2" t="inlineStr">
        <is>
          <t>Food</t>
        </is>
      </c>
      <c r="C16" s="2" t="n"/>
      <c r="D16" s="2" t="n"/>
    </row>
    <row r="17">
      <c r="A17" s="2" t="inlineStr">
        <is>
          <t>S'mores kit</t>
        </is>
      </c>
      <c r="B17" s="2" t="inlineStr">
        <is>
          <t>Food</t>
        </is>
      </c>
      <c r="C17" s="2" t="n"/>
      <c r="D17" s="2" t="n"/>
    </row>
    <row r="18">
      <c r="A18" s="2" t="inlineStr">
        <is>
          <t>First aid kit</t>
        </is>
      </c>
      <c r="B18" s="2" t="inlineStr">
        <is>
          <t>Safety</t>
        </is>
      </c>
      <c r="C18" s="2" t="n"/>
      <c r="D18" s="2" t="n"/>
    </row>
    <row r="19">
      <c r="A19" s="2" t="inlineStr">
        <is>
          <t>Headlamps (+ extra batteries)</t>
        </is>
      </c>
      <c r="B19" s="2" t="inlineStr">
        <is>
          <t>Tools</t>
        </is>
      </c>
      <c r="C19" s="2" t="n"/>
      <c r="D19" s="2" t="n"/>
    </row>
    <row r="20">
      <c r="A20" s="2" t="inlineStr">
        <is>
          <t>Lantern</t>
        </is>
      </c>
      <c r="B20" s="2" t="inlineStr">
        <is>
          <t>Tools</t>
        </is>
      </c>
      <c r="C20" s="2" t="n"/>
      <c r="D20" s="2" t="n"/>
    </row>
    <row r="21">
      <c r="A21" s="2" t="inlineStr">
        <is>
          <t>Firestarter + lighter</t>
        </is>
      </c>
      <c r="B21" s="2" t="inlineStr">
        <is>
          <t>Tools</t>
        </is>
      </c>
      <c r="C21" s="2" t="n"/>
      <c r="D21" s="2" t="n"/>
    </row>
    <row r="22">
      <c r="A22" s="2" t="inlineStr">
        <is>
          <t>Sunscreen + lip balm</t>
        </is>
      </c>
      <c r="B22" s="2" t="inlineStr">
        <is>
          <t>Safety</t>
        </is>
      </c>
      <c r="C22" s="2" t="n"/>
      <c r="D22" s="2" t="n"/>
    </row>
    <row r="23">
      <c r="A23" s="2" t="inlineStr">
        <is>
          <t>Cards / board games</t>
        </is>
      </c>
      <c r="B23" s="2" t="inlineStr">
        <is>
          <t>Fun</t>
        </is>
      </c>
      <c r="C23" s="2" t="n"/>
      <c r="D23" s="2" t="n"/>
    </row>
    <row r="24">
      <c r="A24" s="2" t="inlineStr">
        <is>
          <t>Guitar (if applicable)</t>
        </is>
      </c>
      <c r="B24" s="2" t="inlineStr">
        <is>
          <t>Fun</t>
        </is>
      </c>
      <c r="C24" s="2" t="n"/>
      <c r="D24" s="2" t="n"/>
    </row>
    <row r="25">
      <c r="A25" s="2" t="inlineStr">
        <is>
          <t>Star map / astronomy app</t>
        </is>
      </c>
      <c r="B25" s="2" t="inlineStr">
        <is>
          <t>Fun</t>
        </is>
      </c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50" customWidth="1" min="6" max="6"/>
    <col width="14" customWidth="1" min="7" max="7"/>
    <col width="14" customWidth="1" min="8" max="8"/>
  </cols>
  <sheetData>
    <row r="1" ht="24" customHeight="1">
      <c r="A1" s="10" t="inlineStr">
        <is>
          <t>Name</t>
        </is>
      </c>
      <c r="B1" s="10" t="inlineStr">
        <is>
          <t>Difficulty</t>
        </is>
      </c>
      <c r="C1" s="10" t="inlineStr">
        <is>
          <t>Distance</t>
        </is>
      </c>
      <c r="D1" s="10" t="inlineStr">
        <is>
          <t>Time</t>
        </is>
      </c>
      <c r="E1" s="10" t="inlineStr">
        <is>
          <t>Elevation</t>
        </is>
      </c>
      <c r="F1" s="10" t="inlineStr">
        <is>
          <t>Description</t>
        </is>
      </c>
      <c r="G1" s="10" t="inlineStr">
        <is>
          <t>NPS link</t>
        </is>
      </c>
      <c r="H1" s="10" t="inlineStr">
        <is>
          <t>AllTrails link</t>
        </is>
      </c>
    </row>
    <row r="2" ht="42" customHeight="1">
      <c r="A2" s="2" t="inlineStr">
        <is>
          <t>Skull Rock Nature Trail</t>
        </is>
      </c>
      <c r="B2" s="2" t="inlineStr">
        <is>
          <t>Easy</t>
        </is>
      </c>
      <c r="C2" s="2" t="inlineStr">
        <is>
          <t>1.7 mi</t>
        </is>
      </c>
      <c r="D2" s="2" t="inlineStr">
        <is>
          <t>~1 hr</t>
        </is>
      </c>
      <c r="E2" s="2" t="inlineStr">
        <is>
          <t>minimal</t>
        </is>
      </c>
      <c r="F2" s="16" t="inlineStr">
        <is>
          <t>Starts at Jumbo Rocks. Wind through boulder formations to the iconic skull-shaped rock.</t>
        </is>
      </c>
      <c r="G2" s="18">
        <f>HYPERLINK("https://www.nps.gov/places/skull-rock-nature-trail.htm","NPS ↗")</f>
        <v/>
      </c>
      <c r="H2" s="18">
        <f>HYPERLINK("https://www.alltrails.com/trail/us/california/skull-rock-trail","AllTrails ↗")</f>
        <v/>
      </c>
    </row>
    <row r="3" ht="42" customHeight="1">
      <c r="A3" s="2" t="inlineStr">
        <is>
          <t>Ryan Mountain Trail</t>
        </is>
      </c>
      <c r="B3" s="2" t="inlineStr">
        <is>
          <t>Moderate</t>
        </is>
      </c>
      <c r="C3" s="2" t="inlineStr">
        <is>
          <t>3.0 mi</t>
        </is>
      </c>
      <c r="D3" s="2" t="inlineStr">
        <is>
          <t>2–3 hrs</t>
        </is>
      </c>
      <c r="E3" s="2" t="inlineStr">
        <is>
          <t>+1,070 ft</t>
        </is>
      </c>
      <c r="F3" s="16" t="inlineStr">
        <is>
          <t>Best panoramic summit in the park. Mt. San Jacinto, San Gorgonio, and the Salton Sea on a clear day.</t>
        </is>
      </c>
      <c r="G3" s="18">
        <f>HYPERLINK("https://www.nps.gov/places/ryan-mountain.htm","NPS ↗")</f>
        <v/>
      </c>
      <c r="H3" s="18">
        <f>HYPERLINK("https://www.alltrails.com/trail/us/california/ryan-mountain-trail","AllTrails ↗")</f>
        <v/>
      </c>
    </row>
    <row r="4" ht="42" customHeight="1">
      <c r="A4" s="2" t="inlineStr">
        <is>
          <t>Arch Rock Nature Trail</t>
        </is>
      </c>
      <c r="B4" s="2" t="inlineStr">
        <is>
          <t>Easy</t>
        </is>
      </c>
      <c r="C4" s="2" t="inlineStr">
        <is>
          <t>1.3 mi</t>
        </is>
      </c>
      <c r="D4" s="2" t="inlineStr">
        <is>
          <t>~45 min</t>
        </is>
      </c>
      <c r="E4" s="2" t="inlineStr">
        <is>
          <t>minimal</t>
        </is>
      </c>
      <c r="F4" s="16" t="inlineStr">
        <is>
          <t>Short loop through boulders to a massive natural arch.</t>
        </is>
      </c>
      <c r="G4" s="18">
        <f>HYPERLINK("https://www.nps.gov/places/arch-rock-nature-trail.htm","NPS ↗")</f>
        <v/>
      </c>
      <c r="H4" s="18">
        <f>HYPERLINK("https://www.alltrails.com/trail/us/california/arch-rock-trail","AllTrails ↗")</f>
        <v/>
      </c>
    </row>
    <row r="5" ht="42" customHeight="1">
      <c r="A5" s="2" t="inlineStr">
        <is>
          <t>Hidden Valley Nature Trail</t>
        </is>
      </c>
      <c r="B5" s="2" t="inlineStr">
        <is>
          <t>Easy</t>
        </is>
      </c>
      <c r="C5" s="2" t="inlineStr">
        <is>
          <t>1.0 mi</t>
        </is>
      </c>
      <c r="D5" s="2" t="inlineStr">
        <is>
          <t>~45 min</t>
        </is>
      </c>
      <c r="E5" s="2" t="inlineStr">
        <is>
          <t>minimal</t>
        </is>
      </c>
      <c r="F5" s="16" t="inlineStr">
        <is>
          <t>Classic loop through a boulder-ringed valley once used by cattle rustlers.</t>
        </is>
      </c>
      <c r="G5" s="18">
        <f>HYPERLINK("https://www.nps.gov/places/hidden-valley-nature-trail.htm","NPS ↗")</f>
        <v/>
      </c>
      <c r="H5" s="18">
        <f>HYPERLINK("https://www.alltrails.com/trail/us/california/hidden-valley-nature-trail","AllTrails ↗")</f>
        <v/>
      </c>
    </row>
    <row r="6" ht="42" customHeight="1">
      <c r="A6" s="2" t="inlineStr">
        <is>
          <t>Cholla Cactus Garden Loop</t>
        </is>
      </c>
      <c r="B6" s="2" t="inlineStr">
        <is>
          <t>Easy</t>
        </is>
      </c>
      <c r="C6" s="2" t="inlineStr">
        <is>
          <t>0.25 mi</t>
        </is>
      </c>
      <c r="D6" s="2" t="inlineStr">
        <is>
          <t>20 min</t>
        </is>
      </c>
      <c r="E6" s="2" t="inlineStr">
        <is>
          <t>flat</t>
        </is>
      </c>
      <c r="F6" s="16" t="inlineStr">
        <is>
          <t>Alien landscape of dense teddy bear cholla. Watch out — they grab you.</t>
        </is>
      </c>
      <c r="G6" s="18">
        <f>HYPERLINK("https://www.nps.gov/places/cholla-cactus-garden.htm","NPS ↗")</f>
        <v/>
      </c>
      <c r="H6" s="18">
        <f>HYPERLINK("https://www.alltrails.com/trail/us/california/cholla-cactus-garden-nature-trail","AllTrails ↗")</f>
        <v/>
      </c>
    </row>
    <row r="7" ht="42" customHeight="1">
      <c r="A7" s="2" t="inlineStr">
        <is>
          <t>Split Rock Loop</t>
        </is>
      </c>
      <c r="B7" s="2" t="inlineStr">
        <is>
          <t>Easy</t>
        </is>
      </c>
      <c r="C7" s="2" t="inlineStr">
        <is>
          <t>2.0 mi</t>
        </is>
      </c>
      <c r="D7" s="2" t="inlineStr">
        <is>
          <t>~1.5 hrs</t>
        </is>
      </c>
      <c r="E7" s="2" t="inlineStr">
        <is>
          <t>minimal</t>
        </is>
      </c>
      <c r="F7" s="16" t="inlineStr">
        <is>
          <t>Huge boulder split cleanly in two by erosion. Loop through desert scenery.</t>
        </is>
      </c>
      <c r="G7" s="18">
        <f>HYPERLINK("https://www.nps.gov/places/split-rock.htm","NPS ↗")</f>
        <v/>
      </c>
      <c r="H7" s="18">
        <f>HYPERLINK("https://www.alltrails.com/trail/us/california/split-rock-loop-trail","AllTrails ↗")</f>
        <v/>
      </c>
    </row>
    <row r="8" ht="42" customHeight="1">
      <c r="A8" s="2" t="inlineStr">
        <is>
          <t>Keys View</t>
        </is>
      </c>
      <c r="B8" s="2" t="inlineStr">
        <is>
          <t>Easy</t>
        </is>
      </c>
      <c r="C8" s="2" t="inlineStr">
        <is>
          <t>0.25 mi (paved)</t>
        </is>
      </c>
      <c r="D8" s="2" t="inlineStr">
        <is>
          <t>15 min</t>
        </is>
      </c>
      <c r="E8" s="2" t="inlineStr">
        <is>
          <t>drive-up</t>
        </is>
      </c>
      <c r="F8" s="16" t="inlineStr">
        <is>
          <t>Stunning views across Coachella Valley, San Andreas Fault, Salton Sea. Best at sunset.</t>
        </is>
      </c>
      <c r="G8" s="18">
        <f>HYPERLINK("https://www.nps.gov/places/keys-view.htm","NPS ↗")</f>
        <v/>
      </c>
      <c r="H8" s="18">
        <f>HYPERLINK("https://www.alltrails.com/trail/us/california/keys-view","AllTrails ↗")</f>
        <v/>
      </c>
    </row>
    <row r="9" ht="42" customHeight="1">
      <c r="A9" s="2" t="inlineStr">
        <is>
          <t>Barker Dam Nature Trail</t>
        </is>
      </c>
      <c r="B9" s="2" t="inlineStr">
        <is>
          <t>Easy</t>
        </is>
      </c>
      <c r="C9" s="2" t="inlineStr">
        <is>
          <t>1.3 mi</t>
        </is>
      </c>
      <c r="D9" s="2" t="inlineStr">
        <is>
          <t>~1 hr</t>
        </is>
      </c>
      <c r="E9" s="2" t="inlineStr">
        <is>
          <t>minimal</t>
        </is>
      </c>
      <c r="F9" s="16" t="inlineStr">
        <is>
          <t>Historic stone dam with a natural water tank. Bighorn sheep frequent.</t>
        </is>
      </c>
      <c r="G9" s="18">
        <f>HYPERLINK("https://www.nps.gov/places/barker-dam-nature-trail.htm","NPS ↗")</f>
        <v/>
      </c>
      <c r="H9" s="18">
        <f>HYPERLINK("https://www.alltrails.com/trail/us/california/barker-dam-trail","AllTrails ↗")</f>
        <v/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</sheetData>
  <conditionalFormatting sqref="B2:B9">
    <cfRule type="expression" priority="1" dxfId="22">
      <formula>$B2="Easy"</formula>
    </cfRule>
    <cfRule type="expression" priority="2" dxfId="23">
      <formula>$B2="Moderate"</formula>
    </cfRule>
    <cfRule type="expression" priority="3" dxfId="24">
      <formula>$B2="Hard"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30" customWidth="1" min="3" max="3"/>
  </cols>
  <sheetData>
    <row r="1" ht="24" customHeight="1">
      <c r="A1" s="10" t="inlineStr">
        <is>
          <t>Topic</t>
        </is>
      </c>
      <c r="B1" s="10" t="inlineStr">
        <is>
          <t>Why you'd open it</t>
        </is>
      </c>
      <c r="C1" s="10" t="inlineStr">
        <is>
          <t>Link</t>
        </is>
      </c>
      <c r="D1" s="2" t="n"/>
    </row>
    <row r="2" ht="28" customHeight="1">
      <c r="A2" s="14" t="inlineStr">
        <is>
          <t>Recreation.gov · Jumbo Rocks</t>
        </is>
      </c>
      <c r="B2" s="19" t="inlineStr">
        <is>
          <t>Book / view the campground reservation (campground #272299).</t>
        </is>
      </c>
      <c r="C2" s="18">
        <f>HYPERLINK("https://www.recreation.gov/camping/campgrounds/272299","Open ↗")</f>
        <v/>
      </c>
      <c r="D2" s="2" t="n"/>
    </row>
    <row r="3" ht="28" customHeight="1">
      <c r="A3" s="14" t="inlineStr">
        <is>
          <t>NPS · Jumbo Rocks page</t>
        </is>
      </c>
      <c r="B3" s="19" t="inlineStr">
        <is>
          <t>Official info on the Jumbo Rocks campground (amenities, rules).</t>
        </is>
      </c>
      <c r="C3" s="18">
        <f>HYPERLINK("https://www.nps.gov/jotr/planyourvisit/jumborocks.htm","Open ↗")</f>
        <v/>
      </c>
      <c r="D3" s="2" t="n"/>
    </row>
    <row r="4" ht="28" customHeight="1">
      <c r="A4" s="14" t="inlineStr">
        <is>
          <t>NPS · Joshua Tree NP</t>
        </is>
      </c>
      <c r="B4" s="19" t="inlineStr">
        <is>
          <t>Park homepage — alerts, hours, fees.</t>
        </is>
      </c>
      <c r="C4" s="18">
        <f>HYPERLINK("https://www.nps.gov/jotr/index.htm","Open ↗")</f>
        <v/>
      </c>
      <c r="D4" s="2" t="n"/>
    </row>
    <row r="5" ht="28" customHeight="1">
      <c r="A5" s="14" t="inlineStr">
        <is>
          <t>NPS · Park Maps</t>
        </is>
      </c>
      <c r="B5" s="19" t="inlineStr">
        <is>
          <t>Downloadable park maps for offline use (no cell in the park).</t>
        </is>
      </c>
      <c r="C5" s="18">
        <f>HYPERLINK("https://www.nps.gov/jotr/planyourvisit/maps.htm","Open ↗")</f>
        <v/>
      </c>
      <c r="D5" s="2" t="n"/>
    </row>
    <row r="6" ht="28" customHeight="1">
      <c r="A6" s="14" t="inlineStr">
        <is>
          <t>NPS · Directions</t>
        </is>
      </c>
      <c r="B6" s="19" t="inlineStr">
        <is>
          <t>How to get to each entrance and Jumbo Rocks.</t>
        </is>
      </c>
      <c r="C6" s="18">
        <f>HYPERLINK("https://www.nps.gov/jotr/planyourvisit/directions.htm","Open ↗")</f>
        <v/>
      </c>
      <c r="D6" s="2" t="n"/>
    </row>
    <row r="7" ht="28" customHeight="1">
      <c r="A7" s="14" t="inlineStr">
        <is>
          <t>NPS · Weather &amp; Climate</t>
        </is>
      </c>
      <c r="B7" s="19" t="inlineStr">
        <is>
          <t>What to expect for November temps and wind.</t>
        </is>
      </c>
      <c r="C7" s="18">
        <f>HYPERLINK("https://www.nps.gov/jotr/planyourvisit/weather.htm","Open ↗")</f>
        <v/>
      </c>
      <c r="D7" s="2" t="n"/>
    </row>
    <row r="8" ht="28" customHeight="1">
      <c r="A8" s="14" t="inlineStr">
        <is>
          <t>NWS · Joshua Tree forecast</t>
        </is>
      </c>
      <c r="B8" s="19" t="inlineStr">
        <is>
          <t>National Weather Service forecast for the park.</t>
        </is>
      </c>
      <c r="C8" s="18">
        <f>HYPERLINK("https://forecast.weather.gov/MapClick.php?lat=33.8734&amp;lon=-115.901","Open ↗")</f>
        <v/>
      </c>
      <c r="D8" s="2" t="n"/>
    </row>
    <row r="9" ht="28" customHeight="1">
      <c r="A9" s="14" t="inlineStr">
        <is>
          <t>NPS · Night Sky</t>
        </is>
      </c>
      <c r="B9" s="19" t="inlineStr">
        <is>
          <t>Stargazing tips for the International Dark Sky Park.</t>
        </is>
      </c>
      <c r="C9" s="18">
        <f>HYPERLINK("https://www.nps.gov/jotr/learn/nature/nightsky.htm","Open ↗")</f>
        <v/>
      </c>
      <c r="D9" s="2" t="n"/>
    </row>
    <row r="10" ht="28" customHeight="1">
      <c r="A10" s="14" t="inlineStr">
        <is>
          <t>DarkSky · Joshua Tree</t>
        </is>
      </c>
      <c r="B10" s="19" t="inlineStr">
        <is>
          <t>Official Dark Sky Place listing.</t>
        </is>
      </c>
      <c r="C10" s="18">
        <f>HYPERLINK("https://darksky.org/places/joshua-tree-national-park/","Open ↗")</f>
        <v/>
      </c>
      <c r="D10" s="2" t="n"/>
    </row>
    <row r="11" ht="28" customHeight="1">
      <c r="A11" s="14" t="inlineStr">
        <is>
          <t>NPS · Animals</t>
        </is>
      </c>
      <c r="B11" s="19" t="inlineStr">
        <is>
          <t>Wildlife you might see — and what to do about it.</t>
        </is>
      </c>
      <c r="C11" s="18">
        <f>HYPERLINK("https://www.nps.gov/jotr/learn/nature/animals.htm","Open ↗")</f>
        <v/>
      </c>
      <c r="D11" s="2" t="n"/>
    </row>
    <row r="12" ht="28" customHeight="1">
      <c r="A12" s="14" t="inlineStr">
        <is>
          <t>NPS · Drinking water</t>
        </is>
      </c>
      <c r="B12" s="19" t="inlineStr">
        <is>
          <t>Where to fill up (Jumbo Rocks has NO potable water).</t>
        </is>
      </c>
      <c r="C12" s="18">
        <f>HYPERLINK("https://www.nps.gov/jotr/planyourvisit/water.htm","Open ↗")</f>
        <v/>
      </c>
      <c r="D12" s="2" t="n"/>
    </row>
    <row r="13" ht="28" customHeight="1">
      <c r="A13" s="14" t="inlineStr">
        <is>
          <t>NPS · Campfires &amp; wood</t>
        </is>
      </c>
      <c r="B13" s="19" t="inlineStr">
        <is>
          <t>Fire rules and where to buy firewood.</t>
        </is>
      </c>
      <c r="C13" s="18">
        <f>HYPERLINK("https://www.nps.gov/jotr/planyourvisit/campfires.htm","Open ↗")</f>
        <v/>
      </c>
      <c r="D13" s="2" t="n"/>
    </row>
    <row r="14" ht="28" customHeight="1">
      <c r="A14" s="14" t="inlineStr">
        <is>
          <t>Visit Twentynine Palms</t>
        </is>
      </c>
      <c r="B14" s="19" t="inlineStr">
        <is>
          <t>Nearest town east — gas, groceries, food.</t>
        </is>
      </c>
      <c r="C14" s="18">
        <f>HYPERLINK("https://visit29.org/","Open ↗")</f>
        <v/>
      </c>
      <c r="D14" s="2" t="n"/>
    </row>
    <row r="15" ht="28" customHeight="1">
      <c r="A15" s="14" t="inlineStr">
        <is>
          <t>Visit Joshua Tree</t>
        </is>
      </c>
      <c r="B15" s="19" t="inlineStr">
        <is>
          <t>Town northwest — coffee, quirky shops.</t>
        </is>
      </c>
      <c r="C15" s="18">
        <f>HYPERLINK("https://visitjoshua.com/","Open ↗")</f>
        <v/>
      </c>
      <c r="D15" s="2" t="n"/>
    </row>
    <row r="16" ht="28" customHeight="1">
      <c r="A16" s="14" t="inlineStr">
        <is>
          <t>Desert Regional Medical Center</t>
        </is>
      </c>
      <c r="B16" s="19" t="inlineStr">
        <is>
          <t>Closest ER (Palm Springs, ~45 min).</t>
        </is>
      </c>
      <c r="C16" s="18">
        <f>HYPERLINK("https://www.desertcareresources.com/dch/locations/desert-regional-medical-center","Open ↗")</f>
        <v/>
      </c>
      <c r="D16" s="2" t="n"/>
    </row>
    <row r="17" ht="28" customHeight="1">
      <c r="A17" s="14" t="inlineStr">
        <is>
          <t>Drive to Jumbo Rocks (Google Maps)</t>
        </is>
      </c>
      <c r="B17" s="19" t="inlineStr">
        <is>
          <t>Pin the campground in Maps.</t>
        </is>
      </c>
      <c r="C17" s="18">
        <f>HYPERLINK("https://www.google.com/maps/place/Jumbo+Rocks+Campground/@34.0108,-116.0503,15z","Open ↗")</f>
        <v/>
      </c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2026-05-23T11:22:12Z</dcterms:created>
  <dcterms:modified xsi:type="dcterms:W3CDTF">2026-05-23T11:22:12Z</dcterms:modified>
</cp:coreProperties>
</file>